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93c1aec37a4d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5967af6a8184226"/>
    <x:sheet xmlns:r="http://schemas.openxmlformats.org/officeDocument/2006/relationships" name="Model" sheetId="2" r:id="R364bff16893c4b89"/>
    <x:sheet xmlns:r="http://schemas.openxmlformats.org/officeDocument/2006/relationships" name="Inputs" sheetId="3" r:id="Rd7e33de2c10849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&quot;£&quot;#,##0.00"/>
    <x:numFmt numFmtId="202" formatCode="0.0"/>
  </x:numFmts>
  <x:fonts count="5">
    <x:font>
      <x:sz val="11"/>
      <x:name val="Carlito"/>
    </x:font>
    <x:font>
      <x:sz val="11"/>
      <x:color rgb="FF172B35"/>
      <x:name val="Arial"/>
    </x:font>
    <x:font>
      <x:b/>
      <x:sz val="17"/>
      <x:color rgb="FF172B35"/>
      <x:name val="Arial"/>
    </x:font>
    <x:font>
      <x:b/>
      <x:sz val="11"/>
      <x:color rgb="FF172B35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FFF8E5"/>
      </x:patternFill>
    </x:fill>
    <x:fill>
      <x:patternFill patternType="solid">
        <x:fgColor rgb="FF172B3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0" fontId="3" fillId="0" borderId="0" xfId="0" applyNumberFormat="1" applyFont="1" applyFill="1" applyBorder="1"/>
    <x:xf numFmtId="0" fontId="1" fillId="3" borderId="0" xfId="0" applyNumberFormat="1" applyFont="1" applyFill="1" applyBorder="1"/>
    <x:xf numFmtId="201" fontId="1" fillId="3" borderId="0" xfId="0" applyNumberFormat="1" applyFont="1" applyFill="1" applyBorder="1"/>
    <x:xf numFmtId="201" fontId="1" fillId="0" borderId="0" xfId="0" applyNumberFormat="1" applyFont="1" applyFill="1" applyBorder="1"/>
    <x:xf numFmtId="200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f85fca8c02420f" /><Relationship Type="http://schemas.openxmlformats.org/officeDocument/2006/relationships/theme" Target="/xl/theme/theme1.xml" Id="Rf3a7870df8604a66" /><Relationship Type="http://schemas.openxmlformats.org/officeDocument/2006/relationships/sharedStrings" Target="/xl/sharedStrings.xml" Id="R3f2b0fb8c9f1436d" /><Relationship Type="http://schemas.openxmlformats.org/officeDocument/2006/relationships/worksheet" Target="/xl/worksheets/sheet1.xml" Id="R85967af6a8184226" /><Relationship Type="http://schemas.openxmlformats.org/officeDocument/2006/relationships/worksheet" Target="/xl/worksheets/sheet2.xml" Id="R364bff16893c4b89" /><Relationship Type="http://schemas.openxmlformats.org/officeDocument/2006/relationships/worksheet" Target="/xl/worksheets/sheet3.xml" Id="Rd7e33de2c10849a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7" hidden="0" customWidth="1"/>
    <x:col min="3" max="3" width="17" hidden="0" customWidth="1"/>
    <x:col min="4" max="4" width="30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2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5" customHeight="1">
      <x:c r="A2" s="2" t="str">
        <x:v>Procurement economics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5" customHeight="1">
      <x:c r="A3" s="1" t="str">
        <x:v>Fictional demonstration data. GBP. Snapshot 14 October 2026.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5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25" customHeight="1">
      <x:c r="A5" s="1" t="str">
        <x:v>VAT</x:v>
      </x:c>
      <x:c r="B5" s="4" t="n">
        <x:v>0.2</x:v>
      </x:c>
      <x:c r="C5" s="1"/>
      <x:c r="D5" s="12" t="str">
        <x:v>Metric</x:v>
      </x:c>
      <x:c r="E5" s="12" t="str">
        <x:v>Products</x:v>
      </x:c>
      <x:c r="F5" s="1"/>
      <x:c r="G5" s="1"/>
      <x:c r="H5" s="1"/>
      <x:c r="I5" s="1"/>
      <x:c r="J5" s="1"/>
      <x:c r="K5" s="1"/>
      <x:c r="L5" s="1"/>
    </x:row>
    <x:row r="6" ht="25" customHeight="1">
      <x:c r="A6" s="1" t="str">
        <x:v>Target gross margin</x:v>
      </x:c>
      <x:c r="B6" s="4" t="n">
        <x:v>0.3</x:v>
      </x:c>
      <x:c r="C6" s="1"/>
      <x:c r="D6" s="1" t="str">
        <x:v>Catalogue</x:v>
      </x:c>
      <x:c r="E6" s="1" t="n">
        <x:v>12</x:v>
      </x:c>
      <x:c r="F6" s="1"/>
      <x:c r="G6" s="1"/>
      <x:c r="H6" s="1"/>
      <x:c r="I6" s="1"/>
      <x:c r="J6" s="1"/>
      <x:c r="K6" s="1"/>
      <x:c r="L6" s="1"/>
    </x:row>
    <x:row r="7" ht="25" customHeight="1">
      <x:c r="A7" s="1" t="str">
        <x:v>Price premium ceiling</x:v>
      </x:c>
      <x:c r="B7" s="4" t="n">
        <x:v>0.1</x:v>
      </x:c>
      <x:c r="C7" s="1"/>
      <x:c r="D7" s="1" t="str">
        <x:v>Usable benchmark</x:v>
      </x:c>
      <x:c r="E7" s="1" t="n">
        <x:f>COUNT(Inputs!J5:J16)</x:f>
        <x:v>11</x:v>
      </x:c>
      <x:c r="F7" s="1"/>
      <x:c r="G7" s="1"/>
      <x:c r="H7" s="1"/>
      <x:c r="I7" s="1"/>
      <x:c r="J7" s="1"/>
      <x:c r="K7" s="1"/>
      <x:c r="L7" s="1"/>
    </x:row>
    <x:row r="8" ht="25" customHeight="1">
      <x:c r="A8" s="1" t="str">
        <x:v>Payment fee rate</x:v>
      </x:c>
      <x:c r="B8" s="4" t="n">
        <x:v>0.015</x:v>
      </x:c>
      <x:c r="C8" s="1"/>
      <x:c r="D8" s="1" t="str">
        <x:v>Trial candidate</x:v>
      </x:c>
      <x:c r="E8" s="1" t="n">
        <x:f>COUNTIF(Model!J5:J16,"Trial candidate")</x:f>
        <x:v>4</x:v>
      </x:c>
      <x:c r="F8" s="1"/>
      <x:c r="G8" s="1"/>
      <x:c r="H8" s="1"/>
      <x:c r="I8" s="1"/>
      <x:c r="J8" s="1"/>
      <x:c r="K8" s="1"/>
      <x:c r="L8" s="1"/>
    </x:row>
    <x:row r="9" ht="25" customHeight="1">
      <x:c r="A9" s="1" t="str">
        <x:v>Stock cover limit (months)</x:v>
      </x:c>
      <x:c r="B9" s="3" t="n">
        <x:v>3</x:v>
      </x:c>
      <x:c r="C9" s="1"/>
      <x:c r="D9" s="1" t="str">
        <x:v>Bulk candidate</x:v>
      </x:c>
      <x:c r="E9" s="1" t="n">
        <x:f>COUNTIF(Model!J5:J16,"Bulk candidate")</x:f>
        <x:v>3</x:v>
      </x:c>
      <x:c r="F9" s="1"/>
      <x:c r="G9" s="1"/>
      <x:c r="H9" s="1"/>
      <x:c r="I9" s="1"/>
      <x:c r="J9" s="1"/>
      <x:c r="K9" s="1"/>
      <x:c r="L9" s="1"/>
    </x:row>
    <x:row r="10" ht="25" customHeight="1">
      <x:c r="A10" s="1"/>
      <x:c r="B10" s="1"/>
      <x:c r="C10" s="1"/>
      <x:c r="D10" s="1" t="str">
        <x:v>Stock exposure review</x:v>
      </x:c>
      <x:c r="E10" s="1" t="n">
        <x:f>COUNTIF(Model!J5:J16,"Review stock exposure")</x:f>
        <x:v>1</x:v>
      </x:c>
      <x:c r="F10" s="1"/>
      <x:c r="G10" s="1"/>
      <x:c r="H10" s="1"/>
      <x:c r="I10" s="1"/>
      <x:c r="J10" s="1"/>
      <x:c r="K10" s="1"/>
      <x:c r="L10" s="1"/>
    </x:row>
    <x:row r="11" ht="25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 ht="25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25" customHeight="1">
      <x:c r="A13" s="5" t="str">
        <x:v>Model conventions</x:v>
      </x:c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25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25" customHeight="1">
      <x:c r="A15" s="1" t="str">
        <x:v>Yellow cells are editable assumptions or product inputs.</x:v>
      </x:c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5" customHeight="1">
      <x:c r="A16" s="1" t="str">
        <x:v>Prices and demand are synthetic; they do not represent business results.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5" customHeight="1">
      <x:c r="A17" s="1" t="str">
        <x:v>Gross margin uses revenue excluding VAT; payment fees reduce contribution.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5" customHeight="1">
      <x:c r="A18" s="1" t="str">
        <x:v>Bulk quantities round up to the supplier order multiple.</x:v>
      </x:c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5" customHeight="1">
      <x:c r="A19" s="1" t="str">
        <x:v>Stock cover includes existing stock and the proposed bulk purchase.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5" customHeight="1">
      <x:c r="A20" s="1" t="str">
        <x:v>Benchmark inputs are selected by the supplied SQL pipeline.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5" customHeight="1">
      <x:c r="A21" s="1" t="str">
        <x:v>In-stock, exact, recent observations take priority. Missing prices stay blank.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5" customHeight="1">
      <x:c r="A22" s="1" t="str">
        <x:v>Excel is a standalone scenario model; changing it does not update the CSV files.</x:v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5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5" customHeight="1">
      <x:c r="A24" s="1" t="str">
        <x:v>Source: fictional dataset supplied in the accompanying technical package.</x:v>
      </x:c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5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5" customHeight="1">
      <x:c r="A26" s="1" t="str">
        <x:v>Workflow: Inputs → Model → Summary. SQL/Power BI refresh separately from CSV inputs.</x:v>
      </x:c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5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5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5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5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5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5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5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5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5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30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22" hidden="0" customWidth="1"/>
    <x:col min="10" max="10" width="27" hidden="0" customWidth="1"/>
    <x:col min="11" max="11" width="17" hidden="0" customWidth="1"/>
    <x:col min="12" max="12" width="17" hidden="0" customWidth="1"/>
  </x:cols>
  <x:sheetData>
    <x:row r="1" ht="2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5" customHeight="1">
      <x:c r="A2" s="2" t="str">
        <x:v>Purchasing review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5" customHeight="1">
      <x:c r="A3" s="1" t="str">
        <x:v>Price feasibility is assessed before availability and stock exposure. All values are illustrative.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42" customHeight="1">
      <x:c r="A4" s="13" t="str">
        <x:v>SKU</x:v>
      </x:c>
      <x:c r="B4" s="13" t="str">
        <x:v>Product</x:v>
      </x:c>
      <x:c r="C4" s="13" t="str">
        <x:v>Shelf price £</x:v>
      </x:c>
      <x:c r="D4" s="13" t="str">
        <x:v>Base margin</x:v>
      </x:c>
      <x:c r="E4" s="13" t="str">
        <x:v>Bulk margin</x:v>
      </x:c>
      <x:c r="F4" s="13" t="str">
        <x:v>Bulk units</x:v>
      </x:c>
      <x:c r="G4" s="13" t="str">
        <x:v>Bulk cash £</x:v>
      </x:c>
      <x:c r="H4" s="13" t="str">
        <x:v>Cover months</x:v>
      </x:c>
      <x:c r="I4" s="13" t="str">
        <x:v>Bulk economics</x:v>
      </x:c>
      <x:c r="J4" s="13" t="str">
        <x:v>Recommendation</x:v>
      </x:c>
      <x:c r="K4" s="13" t="str">
        <x:v>Base contrib £</x:v>
      </x:c>
      <x:c r="L4" s="13" t="str">
        <x:v>Bulk contrib £</x:v>
      </x:c>
    </x:row>
    <x:row r="5" ht="25" customHeight="1">
      <x:c r="A5" s="1" t="str">
        <x:f>Inputs!A5</x:f>
        <x:v>P001</x:v>
      </x:c>
      <x:c r="B5" s="1" t="str">
        <x:f>Inputs!B5</x:f>
        <x:v>Aurora booster pack</x:v>
      </x:c>
      <x:c r="C5" s="8" t="n">
        <x:f>IF(Inputs!J5="","",ROUNDDOWN(ROUND(Inputs!J5*(1+Summary!$B$7)*20,8),0)/20)</x:f>
        <x:v>5.5</x:v>
      </x:c>
      <x:c r="D5" s="9" t="n">
        <x:f>IF(C5="","",1-Inputs!D5/(C5/(1+Summary!$B$5)))</x:f>
        <x:v>0.38909090909090915</x:v>
      </x:c>
      <x:c r="E5" s="9" t="n">
        <x:f>IF(OR(C5="",Inputs!E5=""),"",1-Inputs!E5/(C5/(1+Summary!$B$5)))</x:f>
        <x:v>0.43272727272727274</x:v>
      </x:c>
      <x:c r="F5" s="1" t="n">
        <x:f>ROUNDUP(Inputs!F5/Inputs!G5,0)*Inputs!G5</x:f>
        <x:v>24</x:v>
      </x:c>
      <x:c r="G5" s="8" t="n">
        <x:f>IF(Inputs!E5="","",F5*Inputs!E5*(1+Summary!$B$5))</x:f>
        <x:v>74.88000000000001</x:v>
      </x:c>
      <x:c r="H5" s="10" t="n">
        <x:f>IF(OR(Inputs!H5="",Inputs!H5&lt;=0),"",(Inputs!I5+F5)/Inputs!H5)</x:f>
        <x:v>1.8</x:v>
      </x:c>
      <x:c r="I5" s="1" t="str">
        <x:f>IF(C5="","Missing evidence",IF(Inputs!E5="","No bulk offer",IF(Inputs!E5&gt;=Inputs!D5,"No unit saving",IF(AND(D5&gt;=Summary!$B$6,K5&gt;0),"Bulk optional",IF(AND(E5&gt;=Summary!$B$6,L5&gt;0),"Bulk required","Below target")))))</x:f>
        <x:v>Bulk optional</x:v>
      </x:c>
      <x:c r="J5" s="1" t="str">
        <x:f>IF(C5="","Research price",IF(Inputs!K5&lt;&gt;"In stock","Verify availability",IF(AND(D5&gt;=Summary!$B$6,K5&gt;0),"Trial candidate",IF(I5="Bulk required",IF(OR(H5="",H5&gt;Summary!$B$9),"Review stock exposure","Bulk candidate"),"Below target"))))</x:f>
        <x:v>Trial candidate</x:v>
      </x:c>
      <x:c r="K5" s="8" t="n">
        <x:f>IF(C5="","",C5/(1+Summary!$B$5)-Inputs!D5-C5*Summary!$B$8)</x:f>
        <x:v>1.700833333333334</x:v>
      </x:c>
      <x:c r="L5" s="8" t="n">
        <x:f>IF(OR(C5="",Inputs!E5=""),"",C5/(1+Summary!$B$5)-Inputs!E5-C5*Summary!$B$8)</x:f>
        <x:v>1.9008333333333338</x:v>
      </x:c>
    </x:row>
    <x:row r="6" ht="25" customHeight="1">
      <x:c r="A6" s="1" t="str">
        <x:f>Inputs!A6</x:f>
        <x:v>P002</x:v>
      </x:c>
      <x:c r="B6" s="1" t="str">
        <x:f>Inputs!B6</x:f>
        <x:v>Harbour booster pack</x:v>
      </x:c>
      <x:c r="C6" s="8" t="n">
        <x:f>IF(Inputs!J6="","",ROUNDDOWN(ROUND(Inputs!J6*(1+Summary!$B$7)*20,8),0)/20)</x:f>
        <x:v>5.5</x:v>
      </x:c>
      <x:c r="D6" s="9" t="n">
        <x:f>IF(C6="","",1-Inputs!D6/(C6/(1+Summary!$B$5)))</x:f>
        <x:v>0.12727272727272743</x:v>
      </x:c>
      <x:c r="E6" s="9" t="n">
        <x:f>IF(OR(C6="",Inputs!E6=""),"",1-Inputs!E6/(C6/(1+Summary!$B$5)))</x:f>
        <x:v>0.34545454545454557</x:v>
      </x:c>
      <x:c r="F6" s="1" t="n">
        <x:f>ROUNDUP(Inputs!F6/Inputs!G6,0)*Inputs!G6</x:f>
        <x:v>24</x:v>
      </x:c>
      <x:c r="G6" s="8" t="n">
        <x:f>IF(Inputs!E6="","",F6*Inputs!E6*(1+Summary!$B$5))</x:f>
        <x:v>86.39999999999999</x:v>
      </x:c>
      <x:c r="H6" s="10" t="n">
        <x:f>IF(OR(Inputs!H6="",Inputs!H6&lt;=0),"",(Inputs!I6+F6)/Inputs!H6)</x:f>
        <x:v>1.5</x:v>
      </x:c>
      <x:c r="I6" s="1" t="str">
        <x:f>IF(C6="","Missing evidence",IF(Inputs!E6="","No bulk offer",IF(Inputs!E6&gt;=Inputs!D6,"No unit saving",IF(AND(D6&gt;=Summary!$B$6,K6&gt;0),"Bulk optional",IF(AND(E6&gt;=Summary!$B$6,L6&gt;0),"Bulk required","Below target")))))</x:f>
        <x:v>Bulk required</x:v>
      </x:c>
      <x:c r="J6" s="1" t="str">
        <x:f>IF(C6="","Research price",IF(Inputs!K6&lt;&gt;"In stock","Verify availability",IF(AND(D6&gt;=Summary!$B$6,K6&gt;0),"Trial candidate",IF(I6="Bulk required",IF(OR(H6="",H6&gt;Summary!$B$9),"Review stock exposure","Bulk candidate"),"Below target"))))</x:f>
        <x:v>Bulk candidate</x:v>
      </x:c>
      <x:c r="K6" s="8" t="n">
        <x:f>IF(C6="","",C6/(1+Summary!$B$5)-Inputs!D6-C6*Summary!$B$8)</x:f>
        <x:v>0.5008333333333339</x:v>
      </x:c>
      <x:c r="L6" s="8" t="n">
        <x:f>IF(OR(C6="",Inputs!E6=""),"",C6/(1+Summary!$B$5)-Inputs!E6-C6*Summary!$B$8)</x:f>
        <x:v>1.500833333333334</x:v>
      </x:c>
    </x:row>
    <x:row r="7" ht="25" customHeight="1">
      <x:c r="A7" s="1" t="str">
        <x:f>Inputs!A7</x:f>
        <x:v>P003</x:v>
      </x:c>
      <x:c r="B7" s="1" t="str">
        <x:f>Inputs!B7</x:f>
        <x:v>Summit booster pack</x:v>
      </x:c>
      <x:c r="C7" s="8" t="n">
        <x:f>IF(Inputs!J7="","",ROUNDDOWN(ROUND(Inputs!J7*(1+Summary!$B$7)*20,8),0)/20)</x:f>
        <x:v>5.5</x:v>
      </x:c>
      <x:c r="D7" s="9" t="n">
        <x:f>IF(C7="","",1-Inputs!D7/(C7/(1+Summary!$B$5)))</x:f>
        <x:v>-0.09090909090909083</x:v>
      </x:c>
      <x:c r="E7" s="9" t="n">
        <x:f>IF(OR(C7="",Inputs!E7=""),"",1-Inputs!E7/(C7/(1+Summary!$B$5)))</x:f>
        <x:v>-0.04727272727272713</x:v>
      </x:c>
      <x:c r="F7" s="1" t="n">
        <x:f>ROUNDUP(Inputs!F7/Inputs!G7,0)*Inputs!G7</x:f>
        <x:v>24</x:v>
      </x:c>
      <x:c r="G7" s="8" t="n">
        <x:f>IF(Inputs!E7="","",F7*Inputs!E7*(1+Summary!$B$5))</x:f>
        <x:v>138.23999999999998</x:v>
      </x:c>
      <x:c r="H7" s="10" t="n">
        <x:f>IF(OR(Inputs!H7="",Inputs!H7&lt;=0),"",(Inputs!I7+F7)/Inputs!H7)</x:f>
        <x:v>2.1666666666666665</x:v>
      </x:c>
      <x:c r="I7" s="1" t="str">
        <x:f>IF(C7="","Missing evidence",IF(Inputs!E7="","No bulk offer",IF(Inputs!E7&gt;=Inputs!D7,"No unit saving",IF(AND(D7&gt;=Summary!$B$6,K7&gt;0),"Bulk optional",IF(AND(E7&gt;=Summary!$B$6,L7&gt;0),"Bulk required","Below target")))))</x:f>
        <x:v>Below target</x:v>
      </x:c>
      <x:c r="J7" s="1" t="str">
        <x:f>IF(C7="","Research price",IF(Inputs!K7&lt;&gt;"In stock","Verify availability",IF(AND(D7&gt;=Summary!$B$6,K7&gt;0),"Trial candidate",IF(I7="Bulk required",IF(OR(H7="",H7&gt;Summary!$B$9),"Review stock exposure","Bulk candidate"),"Below target"))))</x:f>
        <x:v>Below target</x:v>
      </x:c>
      <x:c r="K7" s="8" t="n">
        <x:f>IF(C7="","",C7/(1+Summary!$B$5)-Inputs!D7-C7*Summary!$B$8)</x:f>
        <x:v>-0.4991666666666661</x:v>
      </x:c>
      <x:c r="L7" s="8" t="n">
        <x:f>IF(OR(C7="",Inputs!E7=""),"",C7/(1+Summary!$B$5)-Inputs!E7-C7*Summary!$B$8)</x:f>
        <x:v>-0.2991666666666659</x:v>
      </x:c>
    </x:row>
    <x:row r="8" ht="25" customHeight="1">
      <x:c r="A8" s="1" t="str">
        <x:f>Inputs!A8</x:f>
        <x:v>P004</x:v>
      </x:c>
      <x:c r="B8" s="1" t="str">
        <x:f>Inputs!B8</x:f>
        <x:v>Orchard booster pack</x:v>
      </x:c>
      <x:c r="C8" s="8" t="n">
        <x:f>IF(Inputs!J8="","",ROUNDDOWN(ROUND(Inputs!J8*(1+Summary!$B$7)*20,8),0)/20)</x:f>
        <x:v>5.5</x:v>
      </x:c>
      <x:c r="D8" s="9" t="n">
        <x:f>IF(C8="","",1-Inputs!D8/(C8/(1+Summary!$B$5)))</x:f>
        <x:v>0.12727272727272743</x:v>
      </x:c>
      <x:c r="E8" s="9" t="n">
        <x:f>IF(OR(C8="",Inputs!E8=""),"",1-Inputs!E8/(C8/(1+Summary!$B$5)))</x:f>
        <x:v>0.34545454545454557</x:v>
      </x:c>
      <x:c r="F8" s="1" t="n">
        <x:f>ROUNDUP(Inputs!F8/Inputs!G8,0)*Inputs!G8</x:f>
        <x:v>72</x:v>
      </x:c>
      <x:c r="G8" s="8" t="n">
        <x:f>IF(Inputs!E8="","",F8*Inputs!E8*(1+Summary!$B$5))</x:f>
        <x:v>259.2</x:v>
      </x:c>
      <x:c r="H8" s="10" t="n">
        <x:f>IF(OR(Inputs!H8="",Inputs!H8&lt;=0),"",(Inputs!I8+F8)/Inputs!H8)</x:f>
        <x:v>9.5</x:v>
      </x:c>
      <x:c r="I8" s="1" t="str">
        <x:f>IF(C8="","Missing evidence",IF(Inputs!E8="","No bulk offer",IF(Inputs!E8&gt;=Inputs!D8,"No unit saving",IF(AND(D8&gt;=Summary!$B$6,K8&gt;0),"Bulk optional",IF(AND(E8&gt;=Summary!$B$6,L8&gt;0),"Bulk required","Below target")))))</x:f>
        <x:v>Bulk required</x:v>
      </x:c>
      <x:c r="J8" s="1" t="str">
        <x:f>IF(C8="","Research price",IF(Inputs!K8&lt;&gt;"In stock","Verify availability",IF(AND(D8&gt;=Summary!$B$6,K8&gt;0),"Trial candidate",IF(I8="Bulk required",IF(OR(H8="",H8&gt;Summary!$B$9),"Review stock exposure","Bulk candidate"),"Below target"))))</x:f>
        <x:v>Review stock exposure</x:v>
      </x:c>
      <x:c r="K8" s="8" t="n">
        <x:f>IF(C8="","",C8/(1+Summary!$B$5)-Inputs!D8-C8*Summary!$B$8)</x:f>
        <x:v>0.5008333333333339</x:v>
      </x:c>
      <x:c r="L8" s="8" t="n">
        <x:f>IF(OR(C8="",Inputs!E8=""),"",C8/(1+Summary!$B$5)-Inputs!E8-C8*Summary!$B$8)</x:f>
        <x:v>1.500833333333334</x:v>
      </x:c>
    </x:row>
    <x:row r="9" ht="25" customHeight="1">
      <x:c r="A9" s="1" t="str">
        <x:f>Inputs!A9</x:f>
        <x:v>P005</x:v>
      </x:c>
      <x:c r="B9" s="1" t="str">
        <x:f>Inputs!B9</x:f>
        <x:v>Aurora collection box</x:v>
      </x:c>
      <x:c r="C9" s="8" t="str">
        <x:f>IF(Inputs!J9="","",ROUNDDOWN(ROUND(Inputs!J9*(1+Summary!$B$7)*20,8),0)/20)</x:f>
      </x:c>
      <x:c r="D9" s="9" t="str">
        <x:f>IF(C9="","",1-Inputs!D9/(C9/(1+Summary!$B$5)))</x:f>
      </x:c>
      <x:c r="E9" s="9" t="str">
        <x:f>IF(OR(C9="",Inputs!E9=""),"",1-Inputs!E9/(C9/(1+Summary!$B$5)))</x:f>
      </x:c>
      <x:c r="F9" s="1" t="n">
        <x:f>ROUNDUP(Inputs!F9/Inputs!G9,0)*Inputs!G9</x:f>
        <x:v>8</x:v>
      </x:c>
      <x:c r="G9" s="8" t="n">
        <x:f>IF(Inputs!E9="","",F9*Inputs!E9*(1+Summary!$B$5))</x:f>
        <x:v>105.6</x:v>
      </x:c>
      <x:c r="H9" s="10" t="n">
        <x:f>IF(OR(Inputs!H9="",Inputs!H9&lt;=0),"",(Inputs!I9+F9)/Inputs!H9)</x:f>
        <x:v>1.6</x:v>
      </x:c>
      <x:c r="I9" s="1" t="str">
        <x:f>IF(C9="","Missing evidence",IF(Inputs!E9="","No bulk offer",IF(Inputs!E9&gt;=Inputs!D9,"No unit saving",IF(AND(D9&gt;=Summary!$B$6,K9&gt;0),"Bulk optional",IF(AND(E9&gt;=Summary!$B$6,L9&gt;0),"Bulk required","Below target")))))</x:f>
        <x:v>Missing evidence</x:v>
      </x:c>
      <x:c r="J9" s="1" t="str">
        <x:f>IF(C9="","Research price",IF(Inputs!K9&lt;&gt;"In stock","Verify availability",IF(AND(D9&gt;=Summary!$B$6,K9&gt;0),"Trial candidate",IF(I9="Bulk required",IF(OR(H9="",H9&gt;Summary!$B$9),"Review stock exposure","Bulk candidate"),"Below target"))))</x:f>
        <x:v>Research price</x:v>
      </x:c>
      <x:c r="K9" s="8" t="str">
        <x:f>IF(C9="","",C9/(1+Summary!$B$5)-Inputs!D9-C9*Summary!$B$8)</x:f>
      </x:c>
      <x:c r="L9" s="8" t="str">
        <x:f>IF(OR(C9="",Inputs!E9=""),"",C9/(1+Summary!$B$5)-Inputs!E9-C9*Summary!$B$8)</x:f>
      </x:c>
    </x:row>
    <x:row r="10" ht="25" customHeight="1">
      <x:c r="A10" s="1" t="str">
        <x:f>Inputs!A10</x:f>
        <x:v>P006</x:v>
      </x:c>
      <x:c r="B10" s="1" t="str">
        <x:f>Inputs!B10</x:f>
        <x:v>Harbour collection box</x:v>
      </x:c>
      <x:c r="C10" s="8" t="n">
        <x:f>IF(Inputs!J10="","",ROUNDDOWN(ROUND(Inputs!J10*(1+Summary!$B$7)*20,8),0)/20)</x:f>
        <x:v>22</x:v>
      </x:c>
      <x:c r="D10" s="9" t="n">
        <x:f>IF(C10="","",1-Inputs!D10/(C10/(1+Summary!$B$5)))</x:f>
        <x:v>0.34545454545454557</x:v>
      </x:c>
      <x:c r="E10" s="9" t="n">
        <x:f>IF(OR(C10="",Inputs!E10=""),"",1-Inputs!E10/(C10/(1+Summary!$B$5)))</x:f>
        <x:v>0.42727272727272736</x:v>
      </x:c>
      <x:c r="F10" s="1" t="n">
        <x:f>ROUNDUP(Inputs!F10/Inputs!G10,0)*Inputs!G10</x:f>
        <x:v>8</x:v>
      </x:c>
      <x:c r="G10" s="8" t="n">
        <x:f>IF(Inputs!E10="","",F10*Inputs!E10*(1+Summary!$B$5))</x:f>
        <x:v>100.8</x:v>
      </x:c>
      <x:c r="H10" s="10" t="n">
        <x:f>IF(OR(Inputs!H10="",Inputs!H10&lt;=0),"",(Inputs!I10+F10)/Inputs!H10)</x:f>
        <x:v>1.6</x:v>
      </x:c>
      <x:c r="I10" s="1" t="str">
        <x:f>IF(C10="","Missing evidence",IF(Inputs!E10="","No bulk offer",IF(Inputs!E10&gt;=Inputs!D10,"No unit saving",IF(AND(D10&gt;=Summary!$B$6,K10&gt;0),"Bulk optional",IF(AND(E10&gt;=Summary!$B$6,L10&gt;0),"Bulk required","Below target")))))</x:f>
        <x:v>Bulk optional</x:v>
      </x:c>
      <x:c r="J10" s="1" t="str">
        <x:f>IF(C10="","Research price",IF(Inputs!K10&lt;&gt;"In stock","Verify availability",IF(AND(D10&gt;=Summary!$B$6,K10&gt;0),"Trial candidate",IF(I10="Bulk required",IF(OR(H10="",H10&gt;Summary!$B$9),"Review stock exposure","Bulk candidate"),"Below target"))))</x:f>
        <x:v>Verify availability</x:v>
      </x:c>
      <x:c r="K10" s="8" t="n">
        <x:f>IF(C10="","",C10/(1+Summary!$B$5)-Inputs!D10-C10*Summary!$B$8)</x:f>
        <x:v>6.003333333333336</x:v>
      </x:c>
      <x:c r="L10" s="8" t="n">
        <x:f>IF(OR(C10="",Inputs!E10=""),"",C10/(1+Summary!$B$5)-Inputs!E10-C10*Summary!$B$8)</x:f>
        <x:v>7.503333333333336</x:v>
      </x:c>
    </x:row>
    <x:row r="11" ht="25" customHeight="1">
      <x:c r="A11" s="1" t="str">
        <x:f>Inputs!A11</x:f>
        <x:v>P007</x:v>
      </x:c>
      <x:c r="B11" s="1" t="str">
        <x:f>Inputs!B11</x:f>
        <x:v>Summit collection box</x:v>
      </x:c>
      <x:c r="C11" s="8" t="n">
        <x:f>IF(Inputs!J11="","",ROUNDDOWN(ROUND(Inputs!J11*(1+Summary!$B$7)*20,8),0)/20)</x:f>
        <x:v>22</x:v>
      </x:c>
      <x:c r="D11" s="9" t="n">
        <x:f>IF(C11="","",1-Inputs!D11/(C11/(1+Summary!$B$5)))</x:f>
        <x:v>0.290909090909091</x:v>
      </x:c>
      <x:c r="E11" s="9" t="n">
        <x:f>IF(OR(C11="",Inputs!E11=""),"",1-Inputs!E11/(C11/(1+Summary!$B$5)))</x:f>
        <x:v>0.34545454545454557</x:v>
      </x:c>
      <x:c r="F11" s="1" t="n">
        <x:f>ROUNDUP(Inputs!F11/Inputs!G11,0)*Inputs!G11</x:f>
        <x:v>12</x:v>
      </x:c>
      <x:c r="G11" s="8" t="n">
        <x:f>IF(Inputs!E11="","",F11*Inputs!E11*(1+Summary!$B$5))</x:f>
        <x:v>172.79999999999998</x:v>
      </x:c>
      <x:c r="H11" s="10" t="n">
        <x:f>IF(OR(Inputs!H11="",Inputs!H11&lt;=0),"",(Inputs!I11+F11)/Inputs!H11)</x:f>
        <x:v>1.7142857142857142</x:v>
      </x:c>
      <x:c r="I11" s="1" t="str">
        <x:f>IF(C11="","Missing evidence",IF(Inputs!E11="","No bulk offer",IF(Inputs!E11&gt;=Inputs!D11,"No unit saving",IF(AND(D11&gt;=Summary!$B$6,K11&gt;0),"Bulk optional",IF(AND(E11&gt;=Summary!$B$6,L11&gt;0),"Bulk required","Below target")))))</x:f>
        <x:v>Bulk required</x:v>
      </x:c>
      <x:c r="J11" s="1" t="str">
        <x:f>IF(C11="","Research price",IF(Inputs!K11&lt;&gt;"In stock","Verify availability",IF(AND(D11&gt;=Summary!$B$6,K11&gt;0),"Trial candidate",IF(I11="Bulk required",IF(OR(H11="",H11&gt;Summary!$B$9),"Review stock exposure","Bulk candidate"),"Below target"))))</x:f>
        <x:v>Bulk candidate</x:v>
      </x:c>
      <x:c r="K11" s="8" t="n">
        <x:f>IF(C11="","",C11/(1+Summary!$B$5)-Inputs!D11-C11*Summary!$B$8)</x:f>
        <x:v>5.003333333333336</x:v>
      </x:c>
      <x:c r="L11" s="8" t="n">
        <x:f>IF(OR(C11="",Inputs!E11=""),"",C11/(1+Summary!$B$5)-Inputs!E11-C11*Summary!$B$8)</x:f>
        <x:v>6.003333333333336</x:v>
      </x:c>
    </x:row>
    <x:row r="12" ht="25" customHeight="1">
      <x:c r="A12" s="1" t="str">
        <x:f>Inputs!A12</x:f>
        <x:v>P008</x:v>
      </x:c>
      <x:c r="B12" s="1" t="str">
        <x:f>Inputs!B12</x:f>
        <x:v>Orchard collection box</x:v>
      </x:c>
      <x:c r="C12" s="8" t="n">
        <x:f>IF(Inputs!J12="","",ROUNDDOWN(ROUND(Inputs!J12*(1+Summary!$B$7)*20,8),0)/20)</x:f>
        <x:v>22</x:v>
      </x:c>
      <x:c r="D12" s="9" t="n">
        <x:f>IF(C12="","",1-Inputs!D12/(C12/(1+Summary!$B$5)))</x:f>
        <x:v>-0.036363636363636154</x:v>
      </x:c>
      <x:c r="E12" s="9" t="n">
        <x:f>IF(OR(C12="",Inputs!E12=""),"",1-Inputs!E12/(C12/(1+Summary!$B$5)))</x:f>
        <x:v>0.0181818181818183</x:v>
      </x:c>
      <x:c r="F12" s="1" t="n">
        <x:f>ROUNDUP(Inputs!F12/Inputs!G12,0)*Inputs!G12</x:f>
        <x:v>8</x:v>
      </x:c>
      <x:c r="G12" s="8" t="n">
        <x:f>IF(Inputs!E12="","",F12*Inputs!E12*(1+Summary!$B$5))</x:f>
        <x:v>172.79999999999998</x:v>
      </x:c>
      <x:c r="H12" s="10" t="n">
        <x:f>IF(OR(Inputs!H12="",Inputs!H12&lt;=0),"",(Inputs!I12+F12)/Inputs!H12)</x:f>
        <x:v>2</x:v>
      </x:c>
      <x:c r="I12" s="1" t="str">
        <x:f>IF(C12="","Missing evidence",IF(Inputs!E12="","No bulk offer",IF(Inputs!E12&gt;=Inputs!D12,"No unit saving",IF(AND(D12&gt;=Summary!$B$6,K12&gt;0),"Bulk optional",IF(AND(E12&gt;=Summary!$B$6,L12&gt;0),"Bulk required","Below target")))))</x:f>
        <x:v>Below target</x:v>
      </x:c>
      <x:c r="J12" s="1" t="str">
        <x:f>IF(C12="","Research price",IF(Inputs!K12&lt;&gt;"In stock","Verify availability",IF(AND(D12&gt;=Summary!$B$6,K12&gt;0),"Trial candidate",IF(I12="Bulk required",IF(OR(H12="",H12&gt;Summary!$B$9),"Review stock exposure","Bulk candidate"),"Below target"))))</x:f>
        <x:v>Below target</x:v>
      </x:c>
      <x:c r="K12" s="8" t="n">
        <x:f>IF(C12="","",C12/(1+Summary!$B$5)-Inputs!D12-C12*Summary!$B$8)</x:f>
        <x:v>-0.9966666666666643</x:v>
      </x:c>
      <x:c r="L12" s="8" t="n">
        <x:f>IF(OR(C12="",Inputs!E12=""),"",C12/(1+Summary!$B$5)-Inputs!E12-C12*Summary!$B$8)</x:f>
        <x:v>0.0033333333333357418</x:v>
      </x:c>
    </x:row>
    <x:row r="13" ht="25" customHeight="1">
      <x:c r="A13" s="1" t="str">
        <x:f>Inputs!A13</x:f>
        <x:v>P009</x:v>
      </x:c>
      <x:c r="B13" s="1" t="str">
        <x:f>Inputs!B13</x:f>
        <x:v>Clear protective sleeves</x:v>
      </x:c>
      <x:c r="C13" s="8" t="n">
        <x:f>IF(Inputs!J13="","",ROUNDDOWN(ROUND(Inputs!J13*(1+Summary!$B$7)*20,8),0)/20)</x:f>
        <x:v>3.3</x:v>
      </x:c>
      <x:c r="D13" s="9" t="n">
        <x:f>IF(C13="","",1-Inputs!D13/(C13/(1+Summary!$B$5)))</x:f>
        <x:v>0.5636363636363637</x:v>
      </x:c>
      <x:c r="E13" s="9" t="str">
        <x:f>IF(OR(C13="",Inputs!E13=""),"",1-Inputs!E13/(C13/(1+Summary!$B$5)))</x:f>
      </x:c>
      <x:c r="F13" s="1" t="n">
        <x:f>ROUNDUP(Inputs!F13/Inputs!G13,0)*Inputs!G13</x:f>
        <x:v>20</x:v>
      </x:c>
      <x:c r="G13" s="8" t="str">
        <x:f>IF(Inputs!E13="","",F13*Inputs!E13*(1+Summary!$B$5))</x:f>
      </x:c>
      <x:c r="H13" s="10" t="n">
        <x:f>IF(OR(Inputs!H13="",Inputs!H13&lt;=0),"",(Inputs!I13+F13)/Inputs!H13)</x:f>
        <x:v>1</x:v>
      </x:c>
      <x:c r="I13" s="1" t="str">
        <x:f>IF(C13="","Missing evidence",IF(Inputs!E13="","No bulk offer",IF(Inputs!E13&gt;=Inputs!D13,"No unit saving",IF(AND(D13&gt;=Summary!$B$6,K13&gt;0),"Bulk optional",IF(AND(E13&gt;=Summary!$B$6,L13&gt;0),"Bulk required","Below target")))))</x:f>
        <x:v>No bulk offer</x:v>
      </x:c>
      <x:c r="J13" s="1" t="str">
        <x:f>IF(C13="","Research price",IF(Inputs!K13&lt;&gt;"In stock","Verify availability",IF(AND(D13&gt;=Summary!$B$6,K13&gt;0),"Trial candidate",IF(I13="Bulk required",IF(OR(H13="",H13&gt;Summary!$B$9),"Review stock exposure","Bulk candidate"),"Below target"))))</x:f>
        <x:v>Trial candidate</x:v>
      </x:c>
      <x:c r="K13" s="8" t="n">
        <x:f>IF(C13="","",C13/(1+Summary!$B$5)-Inputs!D13-C13*Summary!$B$8)</x:f>
        <x:v>1.5005</x:v>
      </x:c>
      <x:c r="L13" s="8" t="str">
        <x:f>IF(OR(C13="",Inputs!E13=""),"",C13/(1+Summary!$B$5)-Inputs!E13-C13*Summary!$B$8)</x:f>
      </x:c>
    </x:row>
    <x:row r="14" ht="25" customHeight="1">
      <x:c r="A14" s="1" t="str">
        <x:f>Inputs!A14</x:f>
        <x:v>P010</x:v>
      </x:c>
      <x:c r="B14" s="1" t="str">
        <x:f>Inputs!B14</x:f>
        <x:v>Pocket storage binder</x:v>
      </x:c>
      <x:c r="C14" s="8" t="n">
        <x:f>IF(Inputs!J14="","",ROUNDDOWN(ROUND(Inputs!J14*(1+Summary!$B$7)*20,8),0)/20)</x:f>
        <x:v>13.2</x:v>
      </x:c>
      <x:c r="D14" s="9" t="n">
        <x:f>IF(C14="","",1-Inputs!D14/(C14/(1+Summary!$B$5)))</x:f>
        <x:v>0.36363636363636365</x:v>
      </x:c>
      <x:c r="E14" s="9" t="n">
        <x:f>IF(OR(C14="",Inputs!E14=""),"",1-Inputs!E14/(C14/(1+Summary!$B$5)))</x:f>
        <x:v>0.31818181818181823</x:v>
      </x:c>
      <x:c r="F14" s="1" t="n">
        <x:f>ROUNDUP(Inputs!F14/Inputs!G14,0)*Inputs!G14</x:f>
        <x:v>12</x:v>
      </x:c>
      <x:c r="G14" s="8" t="n">
        <x:f>IF(Inputs!E14="","",F14*Inputs!E14*(1+Summary!$B$5))</x:f>
        <x:v>108</x:v>
      </x:c>
      <x:c r="H14" s="10" t="n">
        <x:f>IF(OR(Inputs!H14="",Inputs!H14&lt;=0),"",(Inputs!I14+F14)/Inputs!H14)</x:f>
        <x:v>1.75</x:v>
      </x:c>
      <x:c r="I14" s="1" t="str">
        <x:f>IF(C14="","Missing evidence",IF(Inputs!E14="","No bulk offer",IF(Inputs!E14&gt;=Inputs!D14,"No unit saving",IF(AND(D14&gt;=Summary!$B$6,K14&gt;0),"Bulk optional",IF(AND(E14&gt;=Summary!$B$6,L14&gt;0),"Bulk required","Below target")))))</x:f>
        <x:v>No unit saving</x:v>
      </x:c>
      <x:c r="J14" s="1" t="str">
        <x:f>IF(C14="","Research price",IF(Inputs!K14&lt;&gt;"In stock","Verify availability",IF(AND(D14&gt;=Summary!$B$6,K14&gt;0),"Trial candidate",IF(I14="Bulk required",IF(OR(H14="",H14&gt;Summary!$B$9),"Review stock exposure","Bulk candidate"),"Below target"))))</x:f>
        <x:v>Trial candidate</x:v>
      </x:c>
      <x:c r="K14" s="8" t="n">
        <x:f>IF(C14="","",C14/(1+Summary!$B$5)-Inputs!D14-C14*Summary!$B$8)</x:f>
        <x:v>3.802</x:v>
      </x:c>
      <x:c r="L14" s="8" t="n">
        <x:f>IF(OR(C14="",Inputs!E14=""),"",C14/(1+Summary!$B$5)-Inputs!E14-C14*Summary!$B$8)</x:f>
        <x:v>3.302</x:v>
      </x:c>
    </x:row>
    <x:row r="15" ht="25" customHeight="1">
      <x:c r="A15" s="1" t="str">
        <x:f>Inputs!A15</x:f>
        <x:v>P011</x:v>
      </x:c>
      <x:c r="B15" s="1" t="str">
        <x:f>Inputs!B15</x:f>
        <x:v>Display stand</x:v>
      </x:c>
      <x:c r="C15" s="8" t="n">
        <x:f>IF(Inputs!J15="","",ROUNDDOWN(ROUND(Inputs!J15*(1+Summary!$B$7)*20,8),0)/20)</x:f>
        <x:v>5.5</x:v>
      </x:c>
      <x:c r="D15" s="9" t="n">
        <x:f>IF(C15="","",1-Inputs!D15/(C15/(1+Summary!$B$5)))</x:f>
        <x:v>0.3018181818181819</x:v>
      </x:c>
      <x:c r="E15" s="9" t="n">
        <x:f>IF(OR(C15="",Inputs!E15=""),"",1-Inputs!E15/(C15/(1+Summary!$B$5)))</x:f>
        <x:v>0.38909090909090915</x:v>
      </x:c>
      <x:c r="F15" s="1" t="n">
        <x:f>ROUNDUP(Inputs!F15/Inputs!G15,0)*Inputs!G15</x:f>
        <x:v>20</x:v>
      </x:c>
      <x:c r="G15" s="8" t="n">
        <x:f>IF(Inputs!E15="","",F15*Inputs!E15*(1+Summary!$B$5))</x:f>
        <x:v>67.2</x:v>
      </x:c>
      <x:c r="H15" s="10" t="n">
        <x:f>IF(OR(Inputs!H15="",Inputs!H15&lt;=0),"",(Inputs!I15+F15)/Inputs!H15)</x:f>
        <x:v>1.6666666666666667</x:v>
      </x:c>
      <x:c r="I15" s="1" t="str">
        <x:f>IF(C15="","Missing evidence",IF(Inputs!E15="","No bulk offer",IF(Inputs!E15&gt;=Inputs!D15,"No unit saving",IF(AND(D15&gt;=Summary!$B$6,K15&gt;0),"Bulk optional",IF(AND(E15&gt;=Summary!$B$6,L15&gt;0),"Bulk required","Below target")))))</x:f>
        <x:v>Bulk optional</x:v>
      </x:c>
      <x:c r="J15" s="1" t="str">
        <x:f>IF(C15="","Research price",IF(Inputs!K15&lt;&gt;"In stock","Verify availability",IF(AND(D15&gt;=Summary!$B$6,K15&gt;0),"Trial candidate",IF(I15="Bulk required",IF(OR(H15="",H15&gt;Summary!$B$9),"Review stock exposure","Bulk candidate"),"Below target"))))</x:f>
        <x:v>Trial candidate</x:v>
      </x:c>
      <x:c r="K15" s="8" t="n">
        <x:f>IF(C15="","",C15/(1+Summary!$B$5)-Inputs!D15-C15*Summary!$B$8)</x:f>
        <x:v>1.3008333333333337</x:v>
      </x:c>
      <x:c r="L15" s="8" t="n">
        <x:f>IF(OR(C15="",Inputs!E15=""),"",C15/(1+Summary!$B$5)-Inputs!E15-C15*Summary!$B$8)</x:f>
        <x:v>1.700833333333334</x:v>
      </x:c>
    </x:row>
    <x:row r="16" ht="25" customHeight="1">
      <x:c r="A16" s="1" t="str">
        <x:f>Inputs!A16</x:f>
        <x:v>P012</x:v>
      </x:c>
      <x:c r="B16" s="1" t="str">
        <x:f>Inputs!B16</x:f>
        <x:v>Archive storage case</x:v>
      </x:c>
      <x:c r="C16" s="8" t="n">
        <x:f>IF(Inputs!J16="","",ROUNDDOWN(ROUND(Inputs!J16*(1+Summary!$B$7)*20,8),0)/20)</x:f>
        <x:v>13.2</x:v>
      </x:c>
      <x:c r="D16" s="9" t="n">
        <x:f>IF(C16="","",1-Inputs!D16/(C16/(1+Summary!$B$5)))</x:f>
        <x:v>0.18181818181818177</x:v>
      </x:c>
      <x:c r="E16" s="9" t="n">
        <x:f>IF(OR(C16="",Inputs!E16=""),"",1-Inputs!E16/(C16/(1+Summary!$B$5)))</x:f>
        <x:v>0.31818181818181823</x:v>
      </x:c>
      <x:c r="F16" s="1" t="n">
        <x:f>ROUNDUP(Inputs!F16/Inputs!G16,0)*Inputs!G16</x:f>
        <x:v>12</x:v>
      </x:c>
      <x:c r="G16" s="8" t="n">
        <x:f>IF(Inputs!E16="","",F16*Inputs!E16*(1+Summary!$B$5))</x:f>
        <x:v>108</x:v>
      </x:c>
      <x:c r="H16" s="10" t="n">
        <x:f>IF(OR(Inputs!H16="",Inputs!H16&lt;=0),"",(Inputs!I16+F16)/Inputs!H16)</x:f>
        <x:v>2</x:v>
      </x:c>
      <x:c r="I16" s="1" t="str">
        <x:f>IF(C16="","Missing evidence",IF(Inputs!E16="","No bulk offer",IF(Inputs!E16&gt;=Inputs!D16,"No unit saving",IF(AND(D16&gt;=Summary!$B$6,K16&gt;0),"Bulk optional",IF(AND(E16&gt;=Summary!$B$6,L16&gt;0),"Bulk required","Below target")))))</x:f>
        <x:v>Bulk required</x:v>
      </x:c>
      <x:c r="J16" s="1" t="str">
        <x:f>IF(C16="","Research price",IF(Inputs!K16&lt;&gt;"In stock","Verify availability",IF(AND(D16&gt;=Summary!$B$6,K16&gt;0),"Trial candidate",IF(I16="Bulk required",IF(OR(H16="",H16&gt;Summary!$B$9),"Review stock exposure","Bulk candidate"),"Below target"))))</x:f>
        <x:v>Bulk candidate</x:v>
      </x:c>
      <x:c r="K16" s="8" t="n">
        <x:f>IF(C16="","",C16/(1+Summary!$B$5)-Inputs!D16-C16*Summary!$B$8)</x:f>
        <x:v>1.802</x:v>
      </x:c>
      <x:c r="L16" s="8" t="n">
        <x:f>IF(OR(C16="",Inputs!E16=""),"",C16/(1+Summary!$B$5)-Inputs!E16-C16*Summary!$B$8)</x:f>
        <x:v>3.302</x:v>
      </x:c>
    </x:row>
    <x:row r="17" ht="25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5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5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5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5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5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5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5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5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5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5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5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5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5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5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5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5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5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5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30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20" hidden="0" customWidth="1"/>
    <x:col min="12" max="12" width="17" hidden="0" customWidth="1"/>
  </x:cols>
  <x:sheetData>
    <x:row r="1" ht="2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5" customHeight="1">
      <x:c r="A2" s="2" t="str">
        <x:v>Product and benchmark inputs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5" customHeight="1">
      <x:c r="A3" s="1" t="str">
        <x:v>Fictional values. Costs exclude VAT; benchmark prices include VAT. Blank means unavailable.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42" customHeight="1">
      <x:c r="A4" s="13" t="str">
        <x:v>SKU</x:v>
      </x:c>
      <x:c r="B4" s="13" t="str">
        <x:v>Product</x:v>
      </x:c>
      <x:c r="C4" s="13" t="str">
        <x:v>Category</x:v>
      </x:c>
      <x:c r="D4" s="13" t="str">
        <x:v>Base cost £</x:v>
      </x:c>
      <x:c r="E4" s="13" t="str">
        <x:v>Bulk cost £</x:v>
      </x:c>
      <x:c r="F4" s="13" t="str">
        <x:v>Bulk threshold</x:v>
      </x:c>
      <x:c r="G4" s="13" t="str">
        <x:v>Order multiple</x:v>
      </x:c>
      <x:c r="H4" s="13" t="str">
        <x:v>Demand / month</x:v>
      </x:c>
      <x:c r="I4" s="13" t="str">
        <x:v>Stock on hand</x:v>
      </x:c>
      <x:c r="J4" s="13" t="str">
        <x:v>Benchmark £</x:v>
      </x:c>
      <x:c r="K4" s="13" t="str">
        <x:v>Availability</x:v>
      </x:c>
      <x:c r="L4" s="1"/>
    </x:row>
    <x:row r="5" ht="25" customHeight="1">
      <x:c r="A5" s="1" t="str">
        <x:v>P001</x:v>
      </x:c>
      <x:c r="B5" s="1" t="str">
        <x:v>Aurora booster pack</x:v>
      </x:c>
      <x:c r="C5" s="1" t="str">
        <x:v>Packs</x:v>
      </x:c>
      <x:c r="D5" s="7" t="n">
        <x:v>2.8</x:v>
      </x:c>
      <x:c r="E5" s="7" t="n">
        <x:v>2.6</x:v>
      </x:c>
      <x:c r="F5" s="6" t="n">
        <x:v>24</x:v>
      </x:c>
      <x:c r="G5" s="6" t="n">
        <x:v>6</x:v>
      </x:c>
      <x:c r="H5" s="6" t="n">
        <x:v>15</x:v>
      </x:c>
      <x:c r="I5" s="6" t="n">
        <x:v>3</x:v>
      </x:c>
      <x:c r="J5" s="7" t="n">
        <x:v>5</x:v>
      </x:c>
      <x:c r="K5" s="6" t="str">
        <x:v>In stock</x:v>
      </x:c>
      <x:c r="L5" s="1"/>
    </x:row>
    <x:row r="6" ht="25" customHeight="1">
      <x:c r="A6" s="1" t="str">
        <x:v>P002</x:v>
      </x:c>
      <x:c r="B6" s="1" t="str">
        <x:v>Harbour booster pack</x:v>
      </x:c>
      <x:c r="C6" s="1" t="str">
        <x:v>Packs</x:v>
      </x:c>
      <x:c r="D6" s="7" t="n">
        <x:v>4</x:v>
      </x:c>
      <x:c r="E6" s="7" t="n">
        <x:v>3</x:v>
      </x:c>
      <x:c r="F6" s="6" t="n">
        <x:v>24</x:v>
      </x:c>
      <x:c r="G6" s="6" t="n">
        <x:v>6</x:v>
      </x:c>
      <x:c r="H6" s="6" t="n">
        <x:v>16</x:v>
      </x:c>
      <x:c r="I6" s="6" t="n">
        <x:v>0</x:v>
      </x:c>
      <x:c r="J6" s="7" t="n">
        <x:v>5</x:v>
      </x:c>
      <x:c r="K6" s="6" t="str">
        <x:v>In stock</x:v>
      </x:c>
      <x:c r="L6" s="1"/>
    </x:row>
    <x:row r="7" ht="25" customHeight="1">
      <x:c r="A7" s="1" t="str">
        <x:v>P003</x:v>
      </x:c>
      <x:c r="B7" s="1" t="str">
        <x:v>Summit booster pack</x:v>
      </x:c>
      <x:c r="C7" s="1" t="str">
        <x:v>Packs</x:v>
      </x:c>
      <x:c r="D7" s="7" t="n">
        <x:v>5</x:v>
      </x:c>
      <x:c r="E7" s="7" t="n">
        <x:v>4.8</x:v>
      </x:c>
      <x:c r="F7" s="6" t="n">
        <x:v>24</x:v>
      </x:c>
      <x:c r="G7" s="6" t="n">
        <x:v>6</x:v>
      </x:c>
      <x:c r="H7" s="6" t="n">
        <x:v>12</x:v>
      </x:c>
      <x:c r="I7" s="6" t="n">
        <x:v>2</x:v>
      </x:c>
      <x:c r="J7" s="7" t="n">
        <x:v>5</x:v>
      </x:c>
      <x:c r="K7" s="6" t="str">
        <x:v>In stock</x:v>
      </x:c>
      <x:c r="L7" s="1"/>
    </x:row>
    <x:row r="8" ht="25" customHeight="1">
      <x:c r="A8" s="1" t="str">
        <x:v>P004</x:v>
      </x:c>
      <x:c r="B8" s="1" t="str">
        <x:v>Orchard booster pack</x:v>
      </x:c>
      <x:c r="C8" s="1" t="str">
        <x:v>Packs</x:v>
      </x:c>
      <x:c r="D8" s="7" t="n">
        <x:v>4</x:v>
      </x:c>
      <x:c r="E8" s="7" t="n">
        <x:v>3</x:v>
      </x:c>
      <x:c r="F8" s="6" t="n">
        <x:v>72</x:v>
      </x:c>
      <x:c r="G8" s="6" t="n">
        <x:v>6</x:v>
      </x:c>
      <x:c r="H8" s="6" t="n">
        <x:v>8</x:v>
      </x:c>
      <x:c r="I8" s="6" t="n">
        <x:v>4</x:v>
      </x:c>
      <x:c r="J8" s="7" t="n">
        <x:v>5</x:v>
      </x:c>
      <x:c r="K8" s="6" t="str">
        <x:v>In stock</x:v>
      </x:c>
      <x:c r="L8" s="1"/>
    </x:row>
    <x:row r="9" ht="25" customHeight="1">
      <x:c r="A9" s="1" t="str">
        <x:v>P005</x:v>
      </x:c>
      <x:c r="B9" s="1" t="str">
        <x:v>Aurora collection box</x:v>
      </x:c>
      <x:c r="C9" s="1" t="str">
        <x:v>Boxes</x:v>
      </x:c>
      <x:c r="D9" s="7" t="n">
        <x:v>12</x:v>
      </x:c>
      <x:c r="E9" s="7" t="n">
        <x:v>11</x:v>
      </x:c>
      <x:c r="F9" s="6" t="n">
        <x:v>8</x:v>
      </x:c>
      <x:c r="G9" s="6" t="n">
        <x:v>4</x:v>
      </x:c>
      <x:c r="H9" s="6" t="n">
        <x:v>5</x:v>
      </x:c>
      <x:c r="I9" s="6" t="n">
        <x:v>0</x:v>
      </x:c>
      <x:c r="J9" s="7"/>
      <x:c r="K9" s="6"/>
      <x:c r="L9" s="1"/>
    </x:row>
    <x:row r="10" ht="25" customHeight="1">
      <x:c r="A10" s="1" t="str">
        <x:v>P006</x:v>
      </x:c>
      <x:c r="B10" s="1" t="str">
        <x:v>Harbour collection box</x:v>
      </x:c>
      <x:c r="C10" s="1" t="str">
        <x:v>Boxes</x:v>
      </x:c>
      <x:c r="D10" s="7" t="n">
        <x:v>12</x:v>
      </x:c>
      <x:c r="E10" s="7" t="n">
        <x:v>10.5</x:v>
      </x:c>
      <x:c r="F10" s="6" t="n">
        <x:v>8</x:v>
      </x:c>
      <x:c r="G10" s="6" t="n">
        <x:v>4</x:v>
      </x:c>
      <x:c r="H10" s="6" t="n">
        <x:v>5</x:v>
      </x:c>
      <x:c r="I10" s="6" t="n">
        <x:v>0</x:v>
      </x:c>
      <x:c r="J10" s="7" t="n">
        <x:v>20</x:v>
      </x:c>
      <x:c r="K10" s="6" t="str">
        <x:v>Sold out</x:v>
      </x:c>
      <x:c r="L10" s="1"/>
    </x:row>
    <x:row r="11" ht="25" customHeight="1">
      <x:c r="A11" s="1" t="str">
        <x:v>P007</x:v>
      </x:c>
      <x:c r="B11" s="1" t="str">
        <x:v>Summit collection box</x:v>
      </x:c>
      <x:c r="C11" s="1" t="str">
        <x:v>Boxes</x:v>
      </x:c>
      <x:c r="D11" s="7" t="n">
        <x:v>13</x:v>
      </x:c>
      <x:c r="E11" s="7" t="n">
        <x:v>12</x:v>
      </x:c>
      <x:c r="F11" s="6" t="n">
        <x:v>10</x:v>
      </x:c>
      <x:c r="G11" s="6" t="n">
        <x:v>6</x:v>
      </x:c>
      <x:c r="H11" s="6" t="n">
        <x:v>7</x:v>
      </x:c>
      <x:c r="I11" s="6" t="n">
        <x:v>0</x:v>
      </x:c>
      <x:c r="J11" s="7" t="n">
        <x:v>20</x:v>
      </x:c>
      <x:c r="K11" s="6" t="str">
        <x:v>In stock</x:v>
      </x:c>
      <x:c r="L11" s="1"/>
    </x:row>
    <x:row r="12" ht="25" customHeight="1">
      <x:c r="A12" s="1" t="str">
        <x:v>P008</x:v>
      </x:c>
      <x:c r="B12" s="1" t="str">
        <x:v>Orchard collection box</x:v>
      </x:c>
      <x:c r="C12" s="1" t="str">
        <x:v>Boxes</x:v>
      </x:c>
      <x:c r="D12" s="7" t="n">
        <x:v>19</x:v>
      </x:c>
      <x:c r="E12" s="7" t="n">
        <x:v>18</x:v>
      </x:c>
      <x:c r="F12" s="6" t="n">
        <x:v>8</x:v>
      </x:c>
      <x:c r="G12" s="6" t="n">
        <x:v>4</x:v>
      </x:c>
      <x:c r="H12" s="6" t="n">
        <x:v>4</x:v>
      </x:c>
      <x:c r="I12" s="6" t="n">
        <x:v>0</x:v>
      </x:c>
      <x:c r="J12" s="7" t="n">
        <x:v>20</x:v>
      </x:c>
      <x:c r="K12" s="6" t="str">
        <x:v>In stock</x:v>
      </x:c>
      <x:c r="L12" s="1"/>
    </x:row>
    <x:row r="13" ht="25" customHeight="1">
      <x:c r="A13" s="1" t="str">
        <x:v>P009</x:v>
      </x:c>
      <x:c r="B13" s="1" t="str">
        <x:v>Clear protective sleeves</x:v>
      </x:c>
      <x:c r="C13" s="1" t="str">
        <x:v>Accessories</x:v>
      </x:c>
      <x:c r="D13" s="7" t="n">
        <x:v>1.2</x:v>
      </x:c>
      <x:c r="E13" s="7"/>
      <x:c r="F13" s="6" t="n">
        <x:v>20</x:v>
      </x:c>
      <x:c r="G13" s="6" t="n">
        <x:v>10</x:v>
      </x:c>
      <x:c r="H13" s="6" t="n">
        <x:v>25</x:v>
      </x:c>
      <x:c r="I13" s="6" t="n">
        <x:v>5</x:v>
      </x:c>
      <x:c r="J13" s="7" t="n">
        <x:v>3</x:v>
      </x:c>
      <x:c r="K13" s="6" t="str">
        <x:v>In stock</x:v>
      </x:c>
      <x:c r="L13" s="1"/>
    </x:row>
    <x:row r="14" ht="25" customHeight="1">
      <x:c r="A14" s="1" t="str">
        <x:v>P010</x:v>
      </x:c>
      <x:c r="B14" s="1" t="str">
        <x:v>Pocket storage binder</x:v>
      </x:c>
      <x:c r="C14" s="1" t="str">
        <x:v>Accessories</x:v>
      </x:c>
      <x:c r="D14" s="7" t="n">
        <x:v>7</x:v>
      </x:c>
      <x:c r="E14" s="7" t="n">
        <x:v>7.5</x:v>
      </x:c>
      <x:c r="F14" s="6" t="n">
        <x:v>12</x:v>
      </x:c>
      <x:c r="G14" s="6" t="n">
        <x:v>6</x:v>
      </x:c>
      <x:c r="H14" s="6" t="n">
        <x:v>8</x:v>
      </x:c>
      <x:c r="I14" s="6" t="n">
        <x:v>2</x:v>
      </x:c>
      <x:c r="J14" s="7" t="n">
        <x:v>12</x:v>
      </x:c>
      <x:c r="K14" s="6" t="str">
        <x:v>In stock</x:v>
      </x:c>
      <x:c r="L14" s="1"/>
    </x:row>
    <x:row r="15" ht="25" customHeight="1">
      <x:c r="A15" s="1" t="str">
        <x:v>P011</x:v>
      </x:c>
      <x:c r="B15" s="1" t="str">
        <x:v>Display stand</x:v>
      </x:c>
      <x:c r="C15" s="1" t="str">
        <x:v>Accessories</x:v>
      </x:c>
      <x:c r="D15" s="7" t="n">
        <x:v>3.2</x:v>
      </x:c>
      <x:c r="E15" s="7" t="n">
        <x:v>2.8</x:v>
      </x:c>
      <x:c r="F15" s="6" t="n">
        <x:v>20</x:v>
      </x:c>
      <x:c r="G15" s="6" t="n">
        <x:v>5</x:v>
      </x:c>
      <x:c r="H15" s="6" t="n">
        <x:v>12</x:v>
      </x:c>
      <x:c r="I15" s="6" t="n">
        <x:v>0</x:v>
      </x:c>
      <x:c r="J15" s="7" t="n">
        <x:v>5</x:v>
      </x:c>
      <x:c r="K15" s="6" t="str">
        <x:v>In stock</x:v>
      </x:c>
      <x:c r="L15" s="1"/>
    </x:row>
    <x:row r="16" ht="25" customHeight="1">
      <x:c r="A16" s="1" t="str">
        <x:v>P012</x:v>
      </x:c>
      <x:c r="B16" s="1" t="str">
        <x:v>Archive storage case</x:v>
      </x:c>
      <x:c r="C16" s="1" t="str">
        <x:v>Accessories</x:v>
      </x:c>
      <x:c r="D16" s="7" t="n">
        <x:v>9</x:v>
      </x:c>
      <x:c r="E16" s="7" t="n">
        <x:v>7.5</x:v>
      </x:c>
      <x:c r="F16" s="6" t="n">
        <x:v>12</x:v>
      </x:c>
      <x:c r="G16" s="6" t="n">
        <x:v>4</x:v>
      </x:c>
      <x:c r="H16" s="6" t="n">
        <x:v>6</x:v>
      </x:c>
      <x:c r="I16" s="6" t="n">
        <x:v>0</x:v>
      </x:c>
      <x:c r="J16" s="7" t="n">
        <x:v>12</x:v>
      </x:c>
      <x:c r="K16" s="6" t="str">
        <x:v>In stock</x:v>
      </x:c>
      <x:c r="L16" s="1"/>
    </x:row>
    <x:row r="17" ht="25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5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5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5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5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5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5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5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5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5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5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5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5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5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5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5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5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5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5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</x:sheetData>
  <x:pageMargins left="0.7" right="0.7" top="0.75" bottom="0.75" header="0.3" footer="0.3"/>
</x:worksheet>
</file>